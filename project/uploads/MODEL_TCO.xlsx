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<sst xmlns="http://schemas.openxmlformats.org/spreadsheetml/2006/main" count="95" uniqueCount="80">
  <si>
    <t>Disclaimer: Information is from heavy research, cold-calling or from my personal HF networks</t>
  </si>
  <si>
    <t>Tiffany's Estimate on 10k, H100 GPUs, as of July 2025</t>
  </si>
  <si>
    <t>10k GPUs = ~40.69% of Meta's Cluster Size</t>
  </si>
  <si>
    <t>Estimations come from Pytorch to Atoms/Semi Analysis, Numbers were from 2024</t>
  </si>
  <si>
    <t>USD</t>
  </si>
  <si>
    <t>Notes</t>
  </si>
  <si>
    <t>Capital Expenditure for 4 years</t>
  </si>
  <si>
    <t>H100 GPUs</t>
  </si>
  <si>
    <t>Infiniband Networking</t>
  </si>
  <si>
    <t>*note below</t>
  </si>
  <si>
    <t>https://pytorchtoatoms.substack.com/p/metas-24k-h100-cluster-capextco-and</t>
  </si>
  <si>
    <t>CPU</t>
  </si>
  <si>
    <t xml:space="preserve">RAM </t>
  </si>
  <si>
    <t>Local NVMe</t>
  </si>
  <si>
    <t>Other IT Equipment</t>
  </si>
  <si>
    <t>Total CapEx</t>
  </si>
  <si>
    <t>WACC (Present Value)</t>
  </si>
  <si>
    <t>9.1% WACC estimate, 3.2143 annuity factor</t>
  </si>
  <si>
    <t>Operational Expenditure</t>
  </si>
  <si>
    <t>Colocation Space*</t>
  </si>
  <si>
    <t>Electricity Cost (1.25 PUE, 90% Utilization)</t>
  </si>
  <si>
    <t>https://semianalysis.com/2024/03/13/ai-datacenter-energy-dilemma-race/</t>
  </si>
  <si>
    <t>Total Cost of Ownership</t>
  </si>
  <si>
    <t>Component of Server</t>
  </si>
  <si>
    <t>Quantity</t>
  </si>
  <si>
    <t>Details</t>
  </si>
  <si>
    <t>Unit Price</t>
  </si>
  <si>
    <t>Scaled Dollar Amount</t>
  </si>
  <si>
    <t>Intel Xeon Scalable CPU</t>
  </si>
  <si>
    <t>2 CPUs per node</t>
  </si>
  <si>
    <t>8 H100 + 4 NV Switch</t>
  </si>
  <si>
    <t>1250 nodes</t>
  </si>
  <si>
    <t>DDR5 ECC Ram Per Server</t>
  </si>
  <si>
    <t>1 per node</t>
  </si>
  <si>
    <t xml:space="preserve">Local Node NVMe </t>
  </si>
  <si>
    <t>DPU/Networking</t>
  </si>
  <si>
    <t>2 DPUs per node</t>
  </si>
  <si>
    <t>Chassis</t>
  </si>
  <si>
    <t>Motherboard</t>
  </si>
  <si>
    <t>Cooling</t>
  </si>
  <si>
    <t>Power Supply</t>
  </si>
  <si>
    <t>Assembly + Test + Installation + Integration</t>
  </si>
  <si>
    <t>ODM Markup (based on Quanta gross margins) + R&amp;D Amortized CapEx (1%)</t>
  </si>
  <si>
    <t>QM9700 IB Switch (768 leaf + 768 spine + 384 superspine)</t>
  </si>
  <si>
    <t>40.69% of meta switches</t>
  </si>
  <si>
    <t>ConnectX-7 InfiniBand VPI HCA</t>
  </si>
  <si>
    <t>1 HCA per GPU</t>
  </si>
  <si>
    <t>HCA side 400Gbit/s IB transceiver</t>
  </si>
  <si>
    <t>Switch Side Twin Port 2x400Gbit/s IB transceiver</t>
  </si>
  <si>
    <t>40.69% of meta</t>
  </si>
  <si>
    <t>50metres multimode IB fiber cable</t>
  </si>
  <si>
    <t>in-band Management 2x200G Ethernet Network Per Row (32 Servers)</t>
  </si>
  <si>
    <t>32 servers per row</t>
  </si>
  <si>
    <t>42U Racks</t>
  </si>
  <si>
    <t>3.2 nodes per rack</t>
  </si>
  <si>
    <t>20kW networked PDUs</t>
  </si>
  <si>
    <t>3 PDUs per rack</t>
  </si>
  <si>
    <t>Misc (Out of Band Networking, 1U Rack Covers, etc.)</t>
  </si>
  <si>
    <t>SUM</t>
  </si>
  <si>
    <t>370,384,100.00</t>
  </si>
  <si>
    <t xml:space="preserve"> </t>
  </si>
  <si>
    <t>Unit for 4 years</t>
  </si>
  <si>
    <t>Server Hosting Cost</t>
  </si>
  <si>
    <t>Electricity Cost</t>
  </si>
  <si>
    <t>USD per kW per hour</t>
  </si>
  <si>
    <t>Utilization Rate (Workload/Total Time)</t>
  </si>
  <si>
    <t>Power Usage Effectiveness</t>
  </si>
  <si>
    <t>Server Power Consumption (8 GPUs)</t>
  </si>
  <si>
    <t>kW</t>
  </si>
  <si>
    <t>*from semi analysis</t>
  </si>
  <si>
    <t>Servers Power Consumption (10k GPU)</t>
  </si>
  <si>
    <t>Total Electricity Cost per month</t>
  </si>
  <si>
    <t>Colocation Space per server (8GPUs)</t>
  </si>
  <si>
    <t>USD per kW per  month</t>
  </si>
  <si>
    <t>Total Colocation Space Cost per Month</t>
  </si>
  <si>
    <t>USD per month</t>
  </si>
  <si>
    <t>*10k Clust ~ 13MW, Meta estimate is 39MW for its ~25k GPU, but this estimate is closer to semi analysis</t>
  </si>
  <si>
    <t>*Brown ones are components  infiniband</t>
  </si>
  <si>
    <t>**** Meta infiniband cost of 192k likely includes additional ODM Cost, as its two screenshots didnt really linedup</t>
  </si>
  <si>
    <t>*rackspace rental cost, infra, etc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</si>
</sst>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3" xfId="0" applyFont="1" applyNumberForma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9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0:E41" displayName="Table1" name="Table1" id="1">
  <tableColumns count="5">
    <tableColumn totalsRowLabel="SUM" name="Component of Server" id="1"/>
    <tableColumn name="Quantity" id="2"/>
    <tableColumn name="Details" id="3"/>
    <tableColumn name="Unit Price" id="4"/>
    <tableColumn totalsRowLabel="370,384,100.00" name="Scaled Dollar Amount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7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 t="s">
        <v>4</v>
      </c>
      <c r="C4" s="1" t="s">
        <v>5</v>
      </c>
    </row>
    <row r="5">
      <c r="A5" s="1" t="s">
        <v>6</v>
      </c>
      <c r="B5" s="1" t="s">
        <v>4</v>
      </c>
      <c r="C5" s="1" t="s">
        <v>5</v>
      </c>
    </row>
    <row r="6">
      <c r="A6" s="1" t="s">
        <v>7</v>
      </c>
      <c r="B6" s="2">
        <v>2.4375E8</v>
      </c>
      <c r="C6" s="2"/>
    </row>
    <row r="7">
      <c r="A7" s="1" t="s">
        <v>8</v>
      </c>
      <c r="B7" s="3">
        <v>8.29798E7</v>
      </c>
      <c r="C7" s="1" t="s">
        <v>9</v>
      </c>
      <c r="D7" s="1" t="s">
        <v>10</v>
      </c>
    </row>
    <row r="8">
      <c r="A8" s="1" t="s">
        <v>11</v>
      </c>
      <c r="B8" s="3">
        <v>6500000.0</v>
      </c>
    </row>
    <row r="9">
      <c r="A9" s="1" t="s">
        <v>12</v>
      </c>
      <c r="B9" s="3">
        <v>9825000.0</v>
      </c>
    </row>
    <row r="10">
      <c r="A10" s="1" t="s">
        <v>13</v>
      </c>
      <c r="B10" s="2">
        <v>4320000.0</v>
      </c>
    </row>
    <row r="11">
      <c r="A11" s="1" t="s">
        <v>14</v>
      </c>
      <c r="B11" s="2">
        <v>2.30093E7</v>
      </c>
    </row>
    <row r="12">
      <c r="A12" s="1" t="s">
        <v>15</v>
      </c>
      <c r="B12" s="2">
        <v>3.703841E8</v>
      </c>
    </row>
    <row r="13">
      <c r="A13" s="1" t="s">
        <v>16</v>
      </c>
      <c r="B13" s="2">
        <v>1.0833783074933001E8</v>
      </c>
      <c r="C13" s="1" t="s">
        <v>17</v>
      </c>
    </row>
    <row r="14">
      <c r="A14" s="1" t="s">
        <v>18</v>
      </c>
    </row>
    <row r="15">
      <c r="A15" s="1" t="s">
        <v>19</v>
      </c>
      <c r="B15" s="2">
        <v>7.344E7</v>
      </c>
    </row>
    <row r="16">
      <c r="A16" s="1" t="s">
        <v>20</v>
      </c>
      <c r="B16" s="2">
        <v>4.312764E7</v>
      </c>
      <c r="D16" s="1" t="s">
        <v>21</v>
      </c>
    </row>
    <row r="17">
      <c r="A17" s="1" t="s">
        <v>22</v>
      </c>
      <c r="B17" s="2">
        <v>5.9528957074933E8</v>
      </c>
    </row>
    <row r="20" ht="22.5" customHeight="1">
      <c r="A20" s="4" t="s">
        <v>23</v>
      </c>
      <c r="B20" s="4" t="s">
        <v>24</v>
      </c>
      <c r="C20" s="4" t="s">
        <v>25</v>
      </c>
      <c r="D20" s="4" t="s">
        <v>26</v>
      </c>
      <c r="E20" s="4" t="s">
        <v>27</v>
      </c>
    </row>
    <row r="21" ht="22.5" customHeight="1">
      <c r="A21" s="5" t="s">
        <v>28</v>
      </c>
      <c r="B21" s="6">
        <v>2500.0</v>
      </c>
      <c r="C21" s="5" t="s">
        <v>29</v>
      </c>
      <c r="D21" s="7">
        <v>2600.0</v>
      </c>
      <c r="E21" s="8">
        <v>6500000.0</v>
      </c>
    </row>
    <row r="22" ht="22.5" customHeight="1">
      <c r="A22" s="5" t="s">
        <v>30</v>
      </c>
      <c r="B22" s="6">
        <v>1250.0</v>
      </c>
      <c r="C22" s="5" t="s">
        <v>31</v>
      </c>
      <c r="D22" s="7">
        <v>195000.0</v>
      </c>
      <c r="E22" s="8">
        <v>2.4375E8</v>
      </c>
    </row>
    <row r="23" ht="22.5" customHeight="1">
      <c r="A23" s="5" t="s">
        <v>32</v>
      </c>
      <c r="B23" s="6">
        <v>1250.0</v>
      </c>
      <c r="C23" s="5" t="s">
        <v>33</v>
      </c>
      <c r="D23" s="7">
        <v>7860.0</v>
      </c>
      <c r="E23" s="8">
        <v>9825000.0</v>
      </c>
    </row>
    <row r="24" ht="22.5" customHeight="1">
      <c r="A24" s="5" t="s">
        <v>34</v>
      </c>
      <c r="B24" s="6">
        <v>1250.0</v>
      </c>
      <c r="C24" s="5" t="s">
        <v>33</v>
      </c>
      <c r="D24" s="7">
        <v>3456.0</v>
      </c>
      <c r="E24" s="8">
        <v>4320000.0</v>
      </c>
    </row>
    <row r="25" ht="22.5" customHeight="1">
      <c r="A25" s="5" t="s">
        <v>35</v>
      </c>
      <c r="B25" s="6">
        <v>2500.0</v>
      </c>
      <c r="C25" s="5" t="s">
        <v>36</v>
      </c>
      <c r="D25" s="7">
        <v>1908.0</v>
      </c>
      <c r="E25" s="8">
        <v>4770000.0</v>
      </c>
    </row>
    <row r="26" ht="22.5" customHeight="1">
      <c r="A26" s="5" t="s">
        <v>37</v>
      </c>
      <c r="B26" s="6">
        <v>1250.0</v>
      </c>
      <c r="C26" s="5" t="s">
        <v>33</v>
      </c>
      <c r="D26" s="7">
        <v>563.0</v>
      </c>
      <c r="E26" s="8">
        <v>703750.0</v>
      </c>
    </row>
    <row r="27" ht="22.5" customHeight="1">
      <c r="A27" s="5" t="s">
        <v>38</v>
      </c>
      <c r="B27" s="6">
        <v>1250.0</v>
      </c>
      <c r="C27" s="5" t="s">
        <v>33</v>
      </c>
      <c r="D27" s="7">
        <v>875.0</v>
      </c>
      <c r="E27" s="8">
        <v>1093750.0</v>
      </c>
    </row>
    <row r="28" ht="22.5" customHeight="1">
      <c r="A28" s="5" t="s">
        <v>39</v>
      </c>
      <c r="B28" s="6">
        <v>1250.0</v>
      </c>
      <c r="C28" s="5" t="s">
        <v>33</v>
      </c>
      <c r="D28" s="7">
        <v>463.0</v>
      </c>
      <c r="E28" s="8">
        <v>578750.0</v>
      </c>
    </row>
    <row r="29" ht="22.5" customHeight="1">
      <c r="A29" s="5" t="s">
        <v>40</v>
      </c>
      <c r="B29" s="6">
        <v>1250.0</v>
      </c>
      <c r="C29" s="5" t="s">
        <v>33</v>
      </c>
      <c r="D29" s="7">
        <v>1200.0</v>
      </c>
      <c r="E29" s="8">
        <v>1500000.0</v>
      </c>
    </row>
    <row r="30" ht="22.5" customHeight="1">
      <c r="A30" s="5" t="s">
        <v>41</v>
      </c>
      <c r="B30" s="6">
        <v>1250.0</v>
      </c>
      <c r="C30" s="5" t="s">
        <v>33</v>
      </c>
      <c r="D30" s="7">
        <v>1485.0</v>
      </c>
      <c r="E30" s="8">
        <v>1856250.0</v>
      </c>
    </row>
    <row r="31" ht="22.5" customHeight="1">
      <c r="A31" s="5" t="s">
        <v>42</v>
      </c>
      <c r="B31" s="6">
        <v>1250.0</v>
      </c>
      <c r="C31" s="5" t="s">
        <v>33</v>
      </c>
      <c r="D31" s="7">
        <v>3000.0</v>
      </c>
      <c r="E31" s="8">
        <v>3750000.0</v>
      </c>
    </row>
    <row r="32" ht="22.5" customHeight="1">
      <c r="A32" s="5" t="s">
        <v>43</v>
      </c>
      <c r="B32" s="6">
        <v>781.0</v>
      </c>
      <c r="C32" s="5" t="s">
        <v>44</v>
      </c>
      <c r="D32" s="7">
        <v>35000.0</v>
      </c>
      <c r="E32" s="8">
        <v>2.7335E7</v>
      </c>
    </row>
    <row r="33" ht="22.5" customHeight="1">
      <c r="A33" s="5" t="s">
        <v>45</v>
      </c>
      <c r="B33" s="6">
        <v>10000.0</v>
      </c>
      <c r="C33" s="5" t="s">
        <v>46</v>
      </c>
      <c r="D33" s="7">
        <v>1200.0</v>
      </c>
      <c r="E33" s="8">
        <v>1.2E7</v>
      </c>
    </row>
    <row r="34" ht="22.5" customHeight="1">
      <c r="A34" s="5" t="s">
        <v>47</v>
      </c>
      <c r="B34" s="6">
        <v>10000.0</v>
      </c>
      <c r="C34" s="5" t="s">
        <v>46</v>
      </c>
      <c r="D34" s="7">
        <v>1000.0</v>
      </c>
      <c r="E34" s="8">
        <v>1.0E7</v>
      </c>
    </row>
    <row r="35" ht="22.5" customHeight="1">
      <c r="A35" s="5" t="s">
        <v>48</v>
      </c>
      <c r="B35" s="6">
        <v>19974.0</v>
      </c>
      <c r="C35" s="5" t="s">
        <v>49</v>
      </c>
      <c r="D35" s="7">
        <v>1300.0</v>
      </c>
      <c r="E35" s="8">
        <v>2.59662E7</v>
      </c>
    </row>
    <row r="36" ht="22.5" customHeight="1">
      <c r="A36" s="5" t="s">
        <v>50</v>
      </c>
      <c r="B36" s="6">
        <v>29986.0</v>
      </c>
      <c r="C36" s="5" t="s">
        <v>49</v>
      </c>
      <c r="D36" s="7">
        <v>100.0</v>
      </c>
      <c r="E36" s="8">
        <v>2998600.0</v>
      </c>
    </row>
    <row r="37" ht="22.5" customHeight="1">
      <c r="A37" s="5" t="s">
        <v>51</v>
      </c>
      <c r="B37" s="6">
        <v>39.0</v>
      </c>
      <c r="C37" s="5" t="s">
        <v>52</v>
      </c>
      <c r="D37" s="7">
        <v>120000.0</v>
      </c>
      <c r="E37" s="8">
        <v>4680000.0</v>
      </c>
    </row>
    <row r="38" ht="22.5" customHeight="1">
      <c r="A38" s="5" t="s">
        <v>53</v>
      </c>
      <c r="B38" s="6">
        <v>390.0</v>
      </c>
      <c r="C38" s="5" t="s">
        <v>54</v>
      </c>
      <c r="D38" s="7">
        <v>2000.0</v>
      </c>
      <c r="E38" s="8">
        <v>780000.0</v>
      </c>
    </row>
    <row r="39" ht="22.5" customHeight="1">
      <c r="A39" s="5" t="s">
        <v>55</v>
      </c>
      <c r="B39" s="6">
        <v>1171.0</v>
      </c>
      <c r="C39" s="5" t="s">
        <v>56</v>
      </c>
      <c r="D39" s="7">
        <v>800.0</v>
      </c>
      <c r="E39" s="8">
        <v>936800.0</v>
      </c>
    </row>
    <row r="40" ht="22.5" customHeight="1">
      <c r="A40" s="5" t="s">
        <v>57</v>
      </c>
      <c r="B40" s="6">
        <v>352.0</v>
      </c>
      <c r="C40" s="5" t="s">
        <v>49</v>
      </c>
      <c r="D40" s="7">
        <v>20000.0</v>
      </c>
      <c r="E40" s="8">
        <v>7040000.0</v>
      </c>
    </row>
    <row r="41" ht="22.5" customHeight="1">
      <c r="A41" s="5" t="s">
        <v>58</v>
      </c>
      <c r="B41" s="5"/>
      <c r="C41" s="5"/>
      <c r="D41" s="5"/>
      <c r="E41" s="8" t="s">
        <v>59</v>
      </c>
    </row>
    <row r="42">
      <c r="A42" s="1" t="s">
        <v>60</v>
      </c>
    </row>
    <row r="43">
      <c r="A43" s="1" t="s">
        <v>18</v>
      </c>
      <c r="B43" s="1" t="s">
        <v>61</v>
      </c>
    </row>
    <row r="44">
      <c r="A44" s="1" t="s">
        <v>62</v>
      </c>
    </row>
    <row r="45">
      <c r="A45" s="1" t="s">
        <v>63</v>
      </c>
      <c r="B45" s="1">
        <v>0.087</v>
      </c>
      <c r="C45" s="1" t="s">
        <v>64</v>
      </c>
    </row>
    <row r="46">
      <c r="A46" s="1" t="s">
        <v>65</v>
      </c>
      <c r="B46" s="9">
        <v>0.9</v>
      </c>
    </row>
    <row r="47">
      <c r="A47" s="1" t="s">
        <v>66</v>
      </c>
      <c r="B47" s="1">
        <v>1.25</v>
      </c>
    </row>
    <row r="48">
      <c r="A48" s="1" t="s">
        <v>67</v>
      </c>
      <c r="B48" s="1">
        <v>10.2</v>
      </c>
      <c r="C48" s="1" t="s">
        <v>68</v>
      </c>
      <c r="D48" s="1" t="s">
        <v>69</v>
      </c>
    </row>
    <row r="49">
      <c r="A49" s="1" t="s">
        <v>70</v>
      </c>
      <c r="B49" s="1">
        <v>12750.0</v>
      </c>
      <c r="C49" s="1" t="s">
        <v>68</v>
      </c>
    </row>
    <row r="50">
      <c r="A50" s="1" t="s">
        <v>71</v>
      </c>
      <c r="B50" s="2">
        <v>898492.5</v>
      </c>
      <c r="C50" s="1" t="s">
        <v>4</v>
      </c>
    </row>
    <row r="51">
      <c r="A51" s="1" t="s">
        <v>72</v>
      </c>
      <c r="B51" s="2">
        <v>120.0</v>
      </c>
      <c r="C51" s="1" t="s">
        <v>73</v>
      </c>
    </row>
    <row r="52">
      <c r="A52" s="1" t="s">
        <v>74</v>
      </c>
      <c r="B52" s="2">
        <v>1530000.0</v>
      </c>
      <c r="C52" s="1" t="s">
        <v>75</v>
      </c>
    </row>
    <row r="53">
      <c r="A53" s="1" t="s">
        <v>76</v>
      </c>
      <c r="D53" s="2"/>
    </row>
    <row r="55">
      <c r="A55" s="1" t="s">
        <v>77</v>
      </c>
    </row>
    <row r="56">
      <c r="A56" s="1" t="s">
        <v>78</v>
      </c>
    </row>
    <row r="57">
      <c r="A57" s="1" t="s">
        <v>79</v>
      </c>
    </row>
  </sheetData>
  <dataValidations>
    <dataValidation type="custom" allowBlank="1" showDropDown="1" sqref="B21:B40 D21:E40">
      <formula1>AND(ISNUMBER(B21),(NOT(OR(NOT(ISERROR(DATEVALUE(B21))), AND(ISNUMBER(B21), LEFT(CELL("format", B21))="D")))))</formula1>
    </dataValidation>
  </dataValidations>
  <drawing r:id="rId1"/>
  <tableParts count="1">
    <tablePart r:id="rId3"/>
  </tableParts>
</worksheet>
</file>